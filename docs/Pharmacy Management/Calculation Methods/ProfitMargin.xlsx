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With GST" sheetId="2" r:id="rId6"/>
    <sheet state="visible" name="Without GST" sheetId="3" r:id="rId7"/>
  </sheets>
  <definedNames>
    <definedName name="FINAL_RATE">LAMBDA(((Sheet1!$C$2/100)*Sheet1!$D$2) - Sheet1!$C$2 + (((Sheet1!$C$2/100)*Sheet1!$D$2)/100)*Sheet1!$E$2 + ((Sheet1!$C$2/100)*Sheet1!$D$2 - Sheet1!$C$2))</definedName>
  </definedNames>
  <calcPr/>
</workbook>
</file>

<file path=xl/sharedStrings.xml><?xml version="1.0" encoding="utf-8"?>
<sst xmlns="http://schemas.openxmlformats.org/spreadsheetml/2006/main" count="61" uniqueCount="29">
  <si>
    <t>Method</t>
  </si>
  <si>
    <t>Med1</t>
  </si>
  <si>
    <t>MRP</t>
  </si>
  <si>
    <t>Discount(%)</t>
  </si>
  <si>
    <t>GST(%)</t>
  </si>
  <si>
    <t>Rate</t>
  </si>
  <si>
    <t>Profit Margin</t>
  </si>
  <si>
    <t>Company</t>
  </si>
  <si>
    <t>Sinarest</t>
  </si>
  <si>
    <t>Stockist</t>
  </si>
  <si>
    <t>Retail</t>
  </si>
  <si>
    <t>Product</t>
  </si>
  <si>
    <t>Quantity</t>
  </si>
  <si>
    <t>Total MRP</t>
  </si>
  <si>
    <t xml:space="preserve">Initial Rate </t>
  </si>
  <si>
    <t>Retail Discount(%)</t>
  </si>
  <si>
    <t>Final Rate</t>
  </si>
  <si>
    <t>Input GST(%)</t>
  </si>
  <si>
    <t>Total Price</t>
  </si>
  <si>
    <t>Profit Margin(%)</t>
  </si>
  <si>
    <t>Selling Price</t>
  </si>
  <si>
    <t>Output GST(%)</t>
  </si>
  <si>
    <t>Total Selling Price</t>
  </si>
  <si>
    <t>Selling Discount(%)</t>
  </si>
  <si>
    <t>Profit in Rs</t>
  </si>
  <si>
    <t>Buying GST</t>
  </si>
  <si>
    <t>Selling GST</t>
  </si>
  <si>
    <t>Balance GST</t>
  </si>
  <si>
    <t>Total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</si>
</sst>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With G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thout G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9" displayName="On_Percentage_Calculations" name="On_Percentage_Calculations" id="1">
  <tableColumns count="22">
    <tableColumn name="Method" id="1"/>
    <tableColumn name="Product" id="2"/>
    <tableColumn name="MRP" id="3"/>
    <tableColumn name="Discount(%)" id="4"/>
    <tableColumn name="Rate" id="5"/>
    <tableColumn name="Quantity" id="6"/>
    <tableColumn name="Total MRP" id="7"/>
    <tableColumn name="Initial Rate " id="8"/>
    <tableColumn name="Retail Discount(%)" id="9"/>
    <tableColumn name="Final Rate" id="10"/>
    <tableColumn name="Input GST(%)" id="11"/>
    <tableColumn name="Total Price" id="12"/>
    <tableColumn name="Profit Margin(%)" id="13"/>
    <tableColumn name="Selling Price" id="14"/>
    <tableColumn name="Output GST(%)" id="15"/>
    <tableColumn name="Total Selling Price" id="16"/>
    <tableColumn name="Selling Discount(%)" id="17"/>
    <tableColumn name="Profit in Rs" id="18"/>
    <tableColumn name="Buying GST" id="19"/>
    <tableColumn name="Selling GST" id="20"/>
    <tableColumn name="Balance GST" id="21"/>
    <tableColumn name="Total Profit" id="22"/>
  </tableColumns>
  <tableStyleInfo name="With GST-style" showColumnStripes="0" showFirstColumn="1" showLastColumn="1" showRowStripes="1"/>
</table>
</file>

<file path=xl/tables/table2.xml><?xml version="1.0" encoding="utf-8"?>
<table xmlns="http://schemas.openxmlformats.org/spreadsheetml/2006/main" ref="A1:V19" displayName="Table1" name="Table1" id="2">
  <tableColumns count="22">
    <tableColumn name="Method" id="1"/>
    <tableColumn name="Product" id="2"/>
    <tableColumn name="MRP" id="3"/>
    <tableColumn name="Discount(%)" id="4"/>
    <tableColumn name="Rate" id="5"/>
    <tableColumn name="Quantity" id="6"/>
    <tableColumn name="Total MRP" id="7"/>
    <tableColumn name="Initial Rate " id="8"/>
    <tableColumn name="Retail Discount(%)" id="9"/>
    <tableColumn name="Final Rate" id="10"/>
    <tableColumn name="Input GST(%)" id="11"/>
    <tableColumn name="Total Price" id="12"/>
    <tableColumn name="Profit Margin(%)" id="13"/>
    <tableColumn name="Selling Price" id="14"/>
    <tableColumn name="Output GST(%)" id="15"/>
    <tableColumn name="Total Selling Price" id="16"/>
    <tableColumn name="Selling Discount(%)" id="17"/>
    <tableColumn name="Profit in Rs" id="18"/>
    <tableColumn name="Buying GST" id="19"/>
    <tableColumn name="Selling GST" id="20"/>
    <tableColumn name="Balance GST" id="21"/>
    <tableColumn name="Total Profit" id="22"/>
  </tableColumns>
  <tableStyleInfo name="Without G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>
      <c r="A2" s="1" t="s">
        <v>7</v>
      </c>
      <c r="B2" s="1" t="s">
        <v>8</v>
      </c>
      <c r="C2" s="1">
        <v>100.0</v>
      </c>
      <c r="D2" s="1">
        <v>0.0</v>
      </c>
      <c r="E2" s="1">
        <v>0.0</v>
      </c>
      <c r="F2" s="1">
        <f t="shared" ref="F2:F3" si="1">FINAL_RATE()</f>
        <v>-200</v>
      </c>
      <c r="G2" s="2">
        <f>((C2/100)*D2)</f>
        <v>0</v>
      </c>
    </row>
    <row r="3">
      <c r="A3" s="1" t="s">
        <v>9</v>
      </c>
      <c r="B3" s="1" t="s">
        <v>8</v>
      </c>
      <c r="C3" s="1">
        <v>100.0</v>
      </c>
      <c r="D3" s="1">
        <v>30.0</v>
      </c>
      <c r="E3" s="1">
        <v>12.0</v>
      </c>
      <c r="F3" s="1">
        <f t="shared" si="1"/>
        <v>-200</v>
      </c>
      <c r="G3" s="2">
        <f t="shared" ref="G3:G4" si="2">(((C3 -((C3/100)*D3))/100)*E3)+(C3 -((C3/100)*D3))</f>
        <v>78.4</v>
      </c>
      <c r="H3" s="1">
        <v>0.0</v>
      </c>
    </row>
    <row r="4">
      <c r="A4" s="1" t="s">
        <v>10</v>
      </c>
      <c r="B4" s="1" t="s">
        <v>8</v>
      </c>
      <c r="C4" s="1">
        <v>100.0</v>
      </c>
      <c r="E4" s="1">
        <v>12.0</v>
      </c>
      <c r="F4" s="2">
        <f>G3 + ((G3/100)*H3)</f>
        <v>78.4</v>
      </c>
      <c r="G4" s="2">
        <f t="shared" si="2"/>
        <v>112</v>
      </c>
      <c r="H4" s="2">
        <f>((C4-F4)/C4) * 100</f>
        <v>21.6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4" max="4" width="14.38"/>
    <col customWidth="1" min="6" max="8" width="15.13"/>
    <col customWidth="1" min="9" max="9" width="18.0"/>
    <col customWidth="1" min="10" max="11" width="15.13"/>
    <col customWidth="1" min="12" max="12" width="13.38"/>
    <col customWidth="1" min="13" max="13" width="16.88"/>
    <col customWidth="1" min="14" max="14" width="17.63"/>
    <col customWidth="1" min="15" max="15" width="16.88"/>
    <col customWidth="1" min="16" max="16" width="19.63"/>
    <col customWidth="1" min="17" max="17" width="19.13"/>
  </cols>
  <sheetData>
    <row r="1" ht="22.5" customHeight="1">
      <c r="A1" s="3" t="s">
        <v>0</v>
      </c>
      <c r="B1" s="3" t="s">
        <v>11</v>
      </c>
      <c r="C1" s="3" t="s">
        <v>2</v>
      </c>
      <c r="D1" s="3" t="s">
        <v>3</v>
      </c>
      <c r="E1" s="3" t="s">
        <v>5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3" t="s">
        <v>17</v>
      </c>
      <c r="L1" s="3" t="s">
        <v>18</v>
      </c>
      <c r="M1" s="3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</row>
    <row r="2" ht="22.5" customHeight="1">
      <c r="B2" s="6" t="s">
        <v>8</v>
      </c>
      <c r="C2" s="6">
        <v>275.0</v>
      </c>
      <c r="D2" s="6">
        <v>32.2036363636363</v>
      </c>
      <c r="E2" s="7">
        <f t="shared" ref="E2:E3" si="1">C2*(1-D2/100)</f>
        <v>186.44</v>
      </c>
      <c r="F2" s="6">
        <v>5.0</v>
      </c>
      <c r="G2" s="8">
        <f t="shared" ref="G2:G3" si="2">C2*F2</f>
        <v>1375</v>
      </c>
      <c r="H2" s="8">
        <f t="shared" ref="H2:H19" si="3">E2*F2</f>
        <v>932.2</v>
      </c>
      <c r="I2" s="6">
        <v>5.0</v>
      </c>
      <c r="J2" s="6">
        <f t="shared" ref="J2:J19" si="4">H2*(1-I2/100)</f>
        <v>885.59</v>
      </c>
      <c r="K2" s="6">
        <v>18.0</v>
      </c>
      <c r="L2" s="6">
        <f t="shared" ref="L2:L3" si="5">J2*(1+K2/100)</f>
        <v>1044.9962</v>
      </c>
      <c r="M2" s="9">
        <v>5.0</v>
      </c>
      <c r="N2" s="10">
        <f t="shared" ref="N2:N19" si="6">L2*(1+M2/100)</f>
        <v>1097.24601</v>
      </c>
      <c r="O2" s="9">
        <v>18.0</v>
      </c>
      <c r="P2" s="10">
        <f t="shared" ref="P2:P19" si="7">N2*(1+O2/100)</f>
        <v>1294.750292</v>
      </c>
      <c r="Q2" s="10">
        <f t="shared" ref="Q2:Q3" si="8">(((G2-P2)/G2) * 100)</f>
        <v>5.836342415</v>
      </c>
      <c r="R2" s="10">
        <f t="shared" ref="R2:R19" si="9">(N2*M2)/100</f>
        <v>54.8623005</v>
      </c>
      <c r="S2" s="11">
        <f t="shared" ref="S2:S19" si="10">L2-J2</f>
        <v>159.4062</v>
      </c>
      <c r="T2" s="11">
        <f t="shared" ref="T2:T19" si="11">P2-N2</f>
        <v>197.5042818</v>
      </c>
      <c r="U2" s="11">
        <f t="shared" ref="U2:U19" si="12">T2-S2</f>
        <v>38.0980818</v>
      </c>
      <c r="V2" s="11">
        <f t="shared" ref="V2:V19" si="13">U2+R2</f>
        <v>92.9603823</v>
      </c>
    </row>
    <row r="3" ht="22.5" customHeight="1">
      <c r="B3" s="6" t="s">
        <v>8</v>
      </c>
      <c r="C3" s="6">
        <v>1000.0</v>
      </c>
      <c r="D3" s="6">
        <v>30.0</v>
      </c>
      <c r="E3" s="7">
        <f t="shared" si="1"/>
        <v>700</v>
      </c>
      <c r="F3" s="6">
        <v>5.0</v>
      </c>
      <c r="G3" s="8">
        <f t="shared" si="2"/>
        <v>5000</v>
      </c>
      <c r="H3" s="8">
        <f t="shared" si="3"/>
        <v>3500</v>
      </c>
      <c r="I3" s="6">
        <v>5.0</v>
      </c>
      <c r="J3" s="6">
        <f t="shared" si="4"/>
        <v>3325</v>
      </c>
      <c r="K3" s="6">
        <v>12.0</v>
      </c>
      <c r="L3" s="6">
        <f t="shared" si="5"/>
        <v>3724</v>
      </c>
      <c r="M3" s="9">
        <v>5.0</v>
      </c>
      <c r="N3" s="10">
        <f t="shared" si="6"/>
        <v>3910.2</v>
      </c>
      <c r="O3" s="9">
        <v>12.0</v>
      </c>
      <c r="P3" s="10">
        <f t="shared" si="7"/>
        <v>4379.424</v>
      </c>
      <c r="Q3" s="10">
        <f t="shared" si="8"/>
        <v>12.41152</v>
      </c>
      <c r="R3" s="10">
        <f t="shared" si="9"/>
        <v>195.51</v>
      </c>
      <c r="S3" s="11">
        <f t="shared" si="10"/>
        <v>399</v>
      </c>
      <c r="T3" s="11">
        <f t="shared" si="11"/>
        <v>469.224</v>
      </c>
      <c r="U3" s="11">
        <f t="shared" si="12"/>
        <v>70.224</v>
      </c>
      <c r="V3" s="11">
        <f t="shared" si="13"/>
        <v>265.734</v>
      </c>
    </row>
    <row r="4" ht="22.5" customHeight="1">
      <c r="B4" s="6"/>
      <c r="C4" s="6"/>
      <c r="D4" s="6"/>
      <c r="E4" s="7"/>
      <c r="F4" s="6"/>
      <c r="G4" s="8"/>
      <c r="H4" s="8">
        <f t="shared" si="3"/>
        <v>0</v>
      </c>
      <c r="I4" s="6"/>
      <c r="J4" s="6">
        <f t="shared" si="4"/>
        <v>0</v>
      </c>
      <c r="K4" s="6"/>
      <c r="L4" s="6"/>
      <c r="M4" s="9"/>
      <c r="N4" s="10">
        <f t="shared" si="6"/>
        <v>0</v>
      </c>
      <c r="O4" s="9"/>
      <c r="P4" s="10">
        <f t="shared" si="7"/>
        <v>0</v>
      </c>
      <c r="Q4" s="10"/>
      <c r="R4" s="10">
        <f t="shared" si="9"/>
        <v>0</v>
      </c>
      <c r="S4" s="11">
        <f t="shared" si="10"/>
        <v>0</v>
      </c>
      <c r="T4" s="11">
        <f t="shared" si="11"/>
        <v>0</v>
      </c>
      <c r="U4" s="11">
        <f t="shared" si="12"/>
        <v>0</v>
      </c>
      <c r="V4" s="11">
        <f t="shared" si="13"/>
        <v>0</v>
      </c>
    </row>
    <row r="5" ht="22.5" customHeight="1">
      <c r="E5" s="12">
        <f t="shared" ref="E5:E19" si="14">C5*(1-D5/100)</f>
        <v>0</v>
      </c>
      <c r="H5" s="8">
        <f t="shared" si="3"/>
        <v>0</v>
      </c>
      <c r="J5" s="6">
        <f t="shared" si="4"/>
        <v>0</v>
      </c>
      <c r="L5" s="13">
        <f t="shared" ref="L5:L19" si="15">E5*(1+K5/100)</f>
        <v>0</v>
      </c>
      <c r="N5" s="10">
        <f t="shared" si="6"/>
        <v>0</v>
      </c>
      <c r="O5" s="14"/>
      <c r="P5" s="10">
        <f t="shared" si="7"/>
        <v>0</v>
      </c>
      <c r="Q5" s="14"/>
      <c r="R5" s="10">
        <f t="shared" si="9"/>
        <v>0</v>
      </c>
      <c r="S5" s="11">
        <f t="shared" si="10"/>
        <v>0</v>
      </c>
      <c r="T5" s="11">
        <f t="shared" si="11"/>
        <v>0</v>
      </c>
      <c r="U5" s="11">
        <f t="shared" si="12"/>
        <v>0</v>
      </c>
      <c r="V5" s="11">
        <f t="shared" si="13"/>
        <v>0</v>
      </c>
    </row>
    <row r="6" ht="22.5" customHeight="1">
      <c r="E6" s="12">
        <f t="shared" si="14"/>
        <v>0</v>
      </c>
      <c r="H6" s="8">
        <f t="shared" si="3"/>
        <v>0</v>
      </c>
      <c r="J6" s="6">
        <f t="shared" si="4"/>
        <v>0</v>
      </c>
      <c r="L6" s="13">
        <f t="shared" si="15"/>
        <v>0</v>
      </c>
      <c r="N6" s="10">
        <f t="shared" si="6"/>
        <v>0</v>
      </c>
      <c r="O6" s="14"/>
      <c r="P6" s="10">
        <f t="shared" si="7"/>
        <v>0</v>
      </c>
      <c r="Q6" s="14"/>
      <c r="R6" s="10">
        <f t="shared" si="9"/>
        <v>0</v>
      </c>
      <c r="S6" s="11">
        <f t="shared" si="10"/>
        <v>0</v>
      </c>
      <c r="T6" s="11">
        <f t="shared" si="11"/>
        <v>0</v>
      </c>
      <c r="U6" s="11">
        <f t="shared" si="12"/>
        <v>0</v>
      </c>
      <c r="V6" s="11">
        <f t="shared" si="13"/>
        <v>0</v>
      </c>
    </row>
    <row r="7" ht="22.5" customHeight="1">
      <c r="E7" s="12">
        <f t="shared" si="14"/>
        <v>0</v>
      </c>
      <c r="H7" s="8">
        <f t="shared" si="3"/>
        <v>0</v>
      </c>
      <c r="J7" s="6">
        <f t="shared" si="4"/>
        <v>0</v>
      </c>
      <c r="L7" s="13">
        <f t="shared" si="15"/>
        <v>0</v>
      </c>
      <c r="N7" s="10">
        <f t="shared" si="6"/>
        <v>0</v>
      </c>
      <c r="O7" s="14"/>
      <c r="P7" s="10">
        <f t="shared" si="7"/>
        <v>0</v>
      </c>
      <c r="Q7" s="14"/>
      <c r="R7" s="10">
        <f t="shared" si="9"/>
        <v>0</v>
      </c>
      <c r="S7" s="11">
        <f t="shared" si="10"/>
        <v>0</v>
      </c>
      <c r="T7" s="11">
        <f t="shared" si="11"/>
        <v>0</v>
      </c>
      <c r="U7" s="11">
        <f t="shared" si="12"/>
        <v>0</v>
      </c>
      <c r="V7" s="11">
        <f t="shared" si="13"/>
        <v>0</v>
      </c>
    </row>
    <row r="8" ht="22.5" customHeight="1">
      <c r="E8" s="12">
        <f t="shared" si="14"/>
        <v>0</v>
      </c>
      <c r="H8" s="8">
        <f t="shared" si="3"/>
        <v>0</v>
      </c>
      <c r="J8" s="6">
        <f t="shared" si="4"/>
        <v>0</v>
      </c>
      <c r="L8" s="13">
        <f t="shared" si="15"/>
        <v>0</v>
      </c>
      <c r="N8" s="10">
        <f t="shared" si="6"/>
        <v>0</v>
      </c>
      <c r="O8" s="14"/>
      <c r="P8" s="10">
        <f t="shared" si="7"/>
        <v>0</v>
      </c>
      <c r="Q8" s="14"/>
      <c r="R8" s="10">
        <f t="shared" si="9"/>
        <v>0</v>
      </c>
      <c r="S8" s="11">
        <f t="shared" si="10"/>
        <v>0</v>
      </c>
      <c r="T8" s="11">
        <f t="shared" si="11"/>
        <v>0</v>
      </c>
      <c r="U8" s="11">
        <f t="shared" si="12"/>
        <v>0</v>
      </c>
      <c r="V8" s="11">
        <f t="shared" si="13"/>
        <v>0</v>
      </c>
    </row>
    <row r="9" ht="22.5" customHeight="1">
      <c r="E9" s="12">
        <f t="shared" si="14"/>
        <v>0</v>
      </c>
      <c r="H9" s="8">
        <f t="shared" si="3"/>
        <v>0</v>
      </c>
      <c r="J9" s="6">
        <f t="shared" si="4"/>
        <v>0</v>
      </c>
      <c r="L9" s="13">
        <f t="shared" si="15"/>
        <v>0</v>
      </c>
      <c r="N9" s="10">
        <f t="shared" si="6"/>
        <v>0</v>
      </c>
      <c r="O9" s="14"/>
      <c r="P9" s="10">
        <f t="shared" si="7"/>
        <v>0</v>
      </c>
      <c r="Q9" s="14"/>
      <c r="R9" s="10">
        <f t="shared" si="9"/>
        <v>0</v>
      </c>
      <c r="S9" s="11">
        <f t="shared" si="10"/>
        <v>0</v>
      </c>
      <c r="T9" s="11">
        <f t="shared" si="11"/>
        <v>0</v>
      </c>
      <c r="U9" s="11">
        <f t="shared" si="12"/>
        <v>0</v>
      </c>
      <c r="V9" s="11">
        <f t="shared" si="13"/>
        <v>0</v>
      </c>
    </row>
    <row r="10" ht="22.5" customHeight="1">
      <c r="E10" s="12">
        <f t="shared" si="14"/>
        <v>0</v>
      </c>
      <c r="H10" s="8">
        <f t="shared" si="3"/>
        <v>0</v>
      </c>
      <c r="J10" s="6">
        <f t="shared" si="4"/>
        <v>0</v>
      </c>
      <c r="L10" s="13">
        <f t="shared" si="15"/>
        <v>0</v>
      </c>
      <c r="N10" s="10">
        <f t="shared" si="6"/>
        <v>0</v>
      </c>
      <c r="O10" s="14"/>
      <c r="P10" s="10">
        <f t="shared" si="7"/>
        <v>0</v>
      </c>
      <c r="Q10" s="14"/>
      <c r="R10" s="10">
        <f t="shared" si="9"/>
        <v>0</v>
      </c>
      <c r="S10" s="11">
        <f t="shared" si="10"/>
        <v>0</v>
      </c>
      <c r="T10" s="11">
        <f t="shared" si="11"/>
        <v>0</v>
      </c>
      <c r="U10" s="11">
        <f t="shared" si="12"/>
        <v>0</v>
      </c>
      <c r="V10" s="11">
        <f t="shared" si="13"/>
        <v>0</v>
      </c>
    </row>
    <row r="11" ht="22.5" customHeight="1">
      <c r="E11" s="12">
        <f t="shared" si="14"/>
        <v>0</v>
      </c>
      <c r="H11" s="8">
        <f t="shared" si="3"/>
        <v>0</v>
      </c>
      <c r="J11" s="6">
        <f t="shared" si="4"/>
        <v>0</v>
      </c>
      <c r="L11" s="13">
        <f t="shared" si="15"/>
        <v>0</v>
      </c>
      <c r="N11" s="10">
        <f t="shared" si="6"/>
        <v>0</v>
      </c>
      <c r="O11" s="14"/>
      <c r="P11" s="10">
        <f t="shared" si="7"/>
        <v>0</v>
      </c>
      <c r="Q11" s="14"/>
      <c r="R11" s="10">
        <f t="shared" si="9"/>
        <v>0</v>
      </c>
      <c r="S11" s="11">
        <f t="shared" si="10"/>
        <v>0</v>
      </c>
      <c r="T11" s="11">
        <f t="shared" si="11"/>
        <v>0</v>
      </c>
      <c r="U11" s="11">
        <f t="shared" si="12"/>
        <v>0</v>
      </c>
      <c r="V11" s="11">
        <f t="shared" si="13"/>
        <v>0</v>
      </c>
    </row>
    <row r="12" ht="22.5" customHeight="1">
      <c r="E12" s="12">
        <f t="shared" si="14"/>
        <v>0</v>
      </c>
      <c r="H12" s="8">
        <f t="shared" si="3"/>
        <v>0</v>
      </c>
      <c r="J12" s="6">
        <f t="shared" si="4"/>
        <v>0</v>
      </c>
      <c r="L12" s="13">
        <f t="shared" si="15"/>
        <v>0</v>
      </c>
      <c r="N12" s="10">
        <f t="shared" si="6"/>
        <v>0</v>
      </c>
      <c r="O12" s="14"/>
      <c r="P12" s="10">
        <f t="shared" si="7"/>
        <v>0</v>
      </c>
      <c r="Q12" s="14"/>
      <c r="R12" s="10">
        <f t="shared" si="9"/>
        <v>0</v>
      </c>
      <c r="S12" s="11">
        <f t="shared" si="10"/>
        <v>0</v>
      </c>
      <c r="T12" s="11">
        <f t="shared" si="11"/>
        <v>0</v>
      </c>
      <c r="U12" s="11">
        <f t="shared" si="12"/>
        <v>0</v>
      </c>
      <c r="V12" s="11">
        <f t="shared" si="13"/>
        <v>0</v>
      </c>
    </row>
    <row r="13" ht="22.5" customHeight="1">
      <c r="E13" s="12">
        <f t="shared" si="14"/>
        <v>0</v>
      </c>
      <c r="H13" s="8">
        <f t="shared" si="3"/>
        <v>0</v>
      </c>
      <c r="J13" s="6">
        <f t="shared" si="4"/>
        <v>0</v>
      </c>
      <c r="L13" s="13">
        <f t="shared" si="15"/>
        <v>0</v>
      </c>
      <c r="N13" s="10">
        <f t="shared" si="6"/>
        <v>0</v>
      </c>
      <c r="O13" s="14"/>
      <c r="P13" s="10">
        <f t="shared" si="7"/>
        <v>0</v>
      </c>
      <c r="Q13" s="14"/>
      <c r="R13" s="10">
        <f t="shared" si="9"/>
        <v>0</v>
      </c>
      <c r="S13" s="11">
        <f t="shared" si="10"/>
        <v>0</v>
      </c>
      <c r="T13" s="11">
        <f t="shared" si="11"/>
        <v>0</v>
      </c>
      <c r="U13" s="11">
        <f t="shared" si="12"/>
        <v>0</v>
      </c>
      <c r="V13" s="11">
        <f t="shared" si="13"/>
        <v>0</v>
      </c>
    </row>
    <row r="14" ht="22.5" customHeight="1">
      <c r="E14" s="12">
        <f t="shared" si="14"/>
        <v>0</v>
      </c>
      <c r="H14" s="8">
        <f t="shared" si="3"/>
        <v>0</v>
      </c>
      <c r="J14" s="6">
        <f t="shared" si="4"/>
        <v>0</v>
      </c>
      <c r="L14" s="13">
        <f t="shared" si="15"/>
        <v>0</v>
      </c>
      <c r="N14" s="10">
        <f t="shared" si="6"/>
        <v>0</v>
      </c>
      <c r="O14" s="14"/>
      <c r="P14" s="10">
        <f t="shared" si="7"/>
        <v>0</v>
      </c>
      <c r="Q14" s="14"/>
      <c r="R14" s="10">
        <f t="shared" si="9"/>
        <v>0</v>
      </c>
      <c r="S14" s="11">
        <f t="shared" si="10"/>
        <v>0</v>
      </c>
      <c r="T14" s="11">
        <f t="shared" si="11"/>
        <v>0</v>
      </c>
      <c r="U14" s="11">
        <f t="shared" si="12"/>
        <v>0</v>
      </c>
      <c r="V14" s="11">
        <f t="shared" si="13"/>
        <v>0</v>
      </c>
    </row>
    <row r="15" ht="22.5" customHeight="1">
      <c r="E15" s="12">
        <f t="shared" si="14"/>
        <v>0</v>
      </c>
      <c r="H15" s="8">
        <f t="shared" si="3"/>
        <v>0</v>
      </c>
      <c r="J15" s="6">
        <f t="shared" si="4"/>
        <v>0</v>
      </c>
      <c r="L15" s="13">
        <f t="shared" si="15"/>
        <v>0</v>
      </c>
      <c r="N15" s="10">
        <f t="shared" si="6"/>
        <v>0</v>
      </c>
      <c r="O15" s="14"/>
      <c r="P15" s="10">
        <f t="shared" si="7"/>
        <v>0</v>
      </c>
      <c r="Q15" s="14"/>
      <c r="R15" s="10">
        <f t="shared" si="9"/>
        <v>0</v>
      </c>
      <c r="S15" s="11">
        <f t="shared" si="10"/>
        <v>0</v>
      </c>
      <c r="T15" s="11">
        <f t="shared" si="11"/>
        <v>0</v>
      </c>
      <c r="U15" s="11">
        <f t="shared" si="12"/>
        <v>0</v>
      </c>
      <c r="V15" s="11">
        <f t="shared" si="13"/>
        <v>0</v>
      </c>
    </row>
    <row r="16" ht="22.5" customHeight="1">
      <c r="E16" s="12">
        <f t="shared" si="14"/>
        <v>0</v>
      </c>
      <c r="H16" s="8">
        <f t="shared" si="3"/>
        <v>0</v>
      </c>
      <c r="J16" s="6">
        <f t="shared" si="4"/>
        <v>0</v>
      </c>
      <c r="L16" s="13">
        <f t="shared" si="15"/>
        <v>0</v>
      </c>
      <c r="N16" s="10">
        <f t="shared" si="6"/>
        <v>0</v>
      </c>
      <c r="O16" s="14"/>
      <c r="P16" s="10">
        <f t="shared" si="7"/>
        <v>0</v>
      </c>
      <c r="Q16" s="14"/>
      <c r="R16" s="10">
        <f t="shared" si="9"/>
        <v>0</v>
      </c>
      <c r="S16" s="11">
        <f t="shared" si="10"/>
        <v>0</v>
      </c>
      <c r="T16" s="11">
        <f t="shared" si="11"/>
        <v>0</v>
      </c>
      <c r="U16" s="11">
        <f t="shared" si="12"/>
        <v>0</v>
      </c>
      <c r="V16" s="11">
        <f t="shared" si="13"/>
        <v>0</v>
      </c>
    </row>
    <row r="17" ht="22.5" customHeight="1">
      <c r="E17" s="12">
        <f t="shared" si="14"/>
        <v>0</v>
      </c>
      <c r="H17" s="8">
        <f t="shared" si="3"/>
        <v>0</v>
      </c>
      <c r="J17" s="6">
        <f t="shared" si="4"/>
        <v>0</v>
      </c>
      <c r="L17" s="13">
        <f t="shared" si="15"/>
        <v>0</v>
      </c>
      <c r="N17" s="10">
        <f t="shared" si="6"/>
        <v>0</v>
      </c>
      <c r="O17" s="14"/>
      <c r="P17" s="10">
        <f t="shared" si="7"/>
        <v>0</v>
      </c>
      <c r="Q17" s="14"/>
      <c r="R17" s="10">
        <f t="shared" si="9"/>
        <v>0</v>
      </c>
      <c r="S17" s="11">
        <f t="shared" si="10"/>
        <v>0</v>
      </c>
      <c r="T17" s="11">
        <f t="shared" si="11"/>
        <v>0</v>
      </c>
      <c r="U17" s="11">
        <f t="shared" si="12"/>
        <v>0</v>
      </c>
      <c r="V17" s="11">
        <f t="shared" si="13"/>
        <v>0</v>
      </c>
    </row>
    <row r="18" ht="22.5" customHeight="1">
      <c r="E18" s="12">
        <f t="shared" si="14"/>
        <v>0</v>
      </c>
      <c r="H18" s="8">
        <f t="shared" si="3"/>
        <v>0</v>
      </c>
      <c r="J18" s="6">
        <f t="shared" si="4"/>
        <v>0</v>
      </c>
      <c r="L18" s="13">
        <f t="shared" si="15"/>
        <v>0</v>
      </c>
      <c r="N18" s="10">
        <f t="shared" si="6"/>
        <v>0</v>
      </c>
      <c r="O18" s="14"/>
      <c r="P18" s="10">
        <f t="shared" si="7"/>
        <v>0</v>
      </c>
      <c r="Q18" s="14"/>
      <c r="R18" s="10">
        <f t="shared" si="9"/>
        <v>0</v>
      </c>
      <c r="S18" s="11">
        <f t="shared" si="10"/>
        <v>0</v>
      </c>
      <c r="T18" s="11">
        <f t="shared" si="11"/>
        <v>0</v>
      </c>
      <c r="U18" s="11">
        <f t="shared" si="12"/>
        <v>0</v>
      </c>
      <c r="V18" s="11">
        <f t="shared" si="13"/>
        <v>0</v>
      </c>
    </row>
    <row r="19" ht="22.5" customHeight="1">
      <c r="E19" s="12">
        <f t="shared" si="14"/>
        <v>0</v>
      </c>
      <c r="H19" s="8">
        <f t="shared" si="3"/>
        <v>0</v>
      </c>
      <c r="J19" s="6">
        <f t="shared" si="4"/>
        <v>0</v>
      </c>
      <c r="L19" s="13">
        <f t="shared" si="15"/>
        <v>0</v>
      </c>
      <c r="N19" s="10">
        <f t="shared" si="6"/>
        <v>0</v>
      </c>
      <c r="O19" s="14"/>
      <c r="P19" s="10">
        <f t="shared" si="7"/>
        <v>0</v>
      </c>
      <c r="Q19" s="14"/>
      <c r="R19" s="10">
        <f t="shared" si="9"/>
        <v>0</v>
      </c>
      <c r="S19" s="11">
        <f t="shared" si="10"/>
        <v>0</v>
      </c>
      <c r="T19" s="11">
        <f t="shared" si="11"/>
        <v>0</v>
      </c>
      <c r="U19" s="11">
        <f t="shared" si="12"/>
        <v>0</v>
      </c>
      <c r="V19" s="11">
        <f t="shared" si="13"/>
        <v>0</v>
      </c>
    </row>
  </sheetData>
  <dataValidations>
    <dataValidation type="custom" allowBlank="1" showDropDown="1" sqref="E2:E1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4" max="4" width="14.38"/>
    <col customWidth="1" min="6" max="8" width="15.13"/>
    <col customWidth="1" min="9" max="9" width="18.0"/>
    <col customWidth="1" min="10" max="11" width="15.13"/>
    <col customWidth="1" min="12" max="12" width="13.38"/>
    <col customWidth="1" min="13" max="13" width="16.88"/>
    <col customWidth="1" min="14" max="14" width="17.63"/>
    <col customWidth="1" min="15" max="15" width="16.88"/>
    <col customWidth="1" min="16" max="16" width="19.63"/>
    <col customWidth="1" min="17" max="17" width="19.13"/>
  </cols>
  <sheetData>
    <row r="1" ht="22.5" customHeight="1">
      <c r="A1" s="3" t="s">
        <v>0</v>
      </c>
      <c r="B1" s="3" t="s">
        <v>11</v>
      </c>
      <c r="C1" s="3" t="s">
        <v>2</v>
      </c>
      <c r="D1" s="3" t="s">
        <v>3</v>
      </c>
      <c r="E1" s="3" t="s">
        <v>5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3" t="s">
        <v>17</v>
      </c>
      <c r="L1" s="3" t="s">
        <v>18</v>
      </c>
      <c r="M1" s="3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</row>
    <row r="2" ht="22.5" customHeight="1">
      <c r="B2" s="6" t="s">
        <v>8</v>
      </c>
      <c r="C2" s="6">
        <v>275.0</v>
      </c>
      <c r="D2" s="6">
        <v>32.2036363636363</v>
      </c>
      <c r="E2" s="7">
        <f t="shared" ref="E2:E3" si="1">C2*(1-D2/100)</f>
        <v>186.44</v>
      </c>
      <c r="F2" s="6">
        <v>5.0</v>
      </c>
      <c r="G2" s="8">
        <f t="shared" ref="G2:G3" si="2">C2*F2</f>
        <v>1375</v>
      </c>
      <c r="H2" s="8">
        <f t="shared" ref="H2:H19" si="3">E2*F2</f>
        <v>932.2</v>
      </c>
      <c r="I2" s="6">
        <v>5.0</v>
      </c>
      <c r="J2" s="6">
        <f t="shared" ref="J2:J19" si="4">H2*(1-I2/100)</f>
        <v>885.59</v>
      </c>
      <c r="K2" s="6">
        <v>0.0</v>
      </c>
      <c r="L2" s="6">
        <f t="shared" ref="L2:L3" si="5">J2*(1+K2/100)</f>
        <v>885.59</v>
      </c>
      <c r="M2" s="9">
        <v>25.0</v>
      </c>
      <c r="N2" s="10">
        <f t="shared" ref="N2:N19" si="6">L2*(1+M2/100)</f>
        <v>1106.9875</v>
      </c>
      <c r="O2" s="9">
        <v>0.0</v>
      </c>
      <c r="P2" s="10">
        <f t="shared" ref="P2:P19" si="7">N2*(1+O2/100)</f>
        <v>1106.9875</v>
      </c>
      <c r="Q2" s="10">
        <f t="shared" ref="Q2:Q3" si="8">(((G2-P2)/G2) * 100)</f>
        <v>19.49181818</v>
      </c>
      <c r="R2" s="10">
        <f t="shared" ref="R2:R19" si="9">(N2*M2)/100</f>
        <v>276.746875</v>
      </c>
      <c r="S2" s="11">
        <f t="shared" ref="S2:S19" si="10">L2-J2</f>
        <v>0</v>
      </c>
      <c r="T2" s="11">
        <f t="shared" ref="T2:T19" si="11">P2-N2</f>
        <v>0</v>
      </c>
      <c r="U2" s="11">
        <f t="shared" ref="U2:U19" si="12">T2-S2</f>
        <v>0</v>
      </c>
      <c r="V2" s="11">
        <f t="shared" ref="V2:V19" si="13">U2+R2</f>
        <v>276.746875</v>
      </c>
    </row>
    <row r="3" ht="22.5" customHeight="1">
      <c r="B3" s="6" t="s">
        <v>8</v>
      </c>
      <c r="C3" s="6">
        <v>1000.0</v>
      </c>
      <c r="D3" s="6">
        <v>30.0</v>
      </c>
      <c r="E3" s="7">
        <f t="shared" si="1"/>
        <v>700</v>
      </c>
      <c r="F3" s="6">
        <v>5.0</v>
      </c>
      <c r="G3" s="8">
        <f t="shared" si="2"/>
        <v>5000</v>
      </c>
      <c r="H3" s="8">
        <f t="shared" si="3"/>
        <v>3500</v>
      </c>
      <c r="I3" s="6">
        <v>5.0</v>
      </c>
      <c r="J3" s="6">
        <f t="shared" si="4"/>
        <v>3325</v>
      </c>
      <c r="K3" s="6">
        <v>0.0</v>
      </c>
      <c r="L3" s="6">
        <f t="shared" si="5"/>
        <v>3325</v>
      </c>
      <c r="M3" s="9">
        <v>5.0</v>
      </c>
      <c r="N3" s="10">
        <f t="shared" si="6"/>
        <v>3491.25</v>
      </c>
      <c r="O3" s="9">
        <v>0.0</v>
      </c>
      <c r="P3" s="10">
        <f t="shared" si="7"/>
        <v>3491.25</v>
      </c>
      <c r="Q3" s="10">
        <f t="shared" si="8"/>
        <v>30.175</v>
      </c>
      <c r="R3" s="10">
        <f t="shared" si="9"/>
        <v>174.5625</v>
      </c>
      <c r="S3" s="11">
        <f t="shared" si="10"/>
        <v>0</v>
      </c>
      <c r="T3" s="11">
        <f t="shared" si="11"/>
        <v>0</v>
      </c>
      <c r="U3" s="11">
        <f t="shared" si="12"/>
        <v>0</v>
      </c>
      <c r="V3" s="11">
        <f t="shared" si="13"/>
        <v>174.5625</v>
      </c>
    </row>
    <row r="4" ht="22.5" customHeight="1">
      <c r="B4" s="6"/>
      <c r="C4" s="6"/>
      <c r="D4" s="6"/>
      <c r="E4" s="7"/>
      <c r="F4" s="6"/>
      <c r="G4" s="8"/>
      <c r="H4" s="8">
        <f t="shared" si="3"/>
        <v>0</v>
      </c>
      <c r="I4" s="6"/>
      <c r="J4" s="6">
        <f t="shared" si="4"/>
        <v>0</v>
      </c>
      <c r="K4" s="6"/>
      <c r="L4" s="6"/>
      <c r="M4" s="9"/>
      <c r="N4" s="10">
        <f t="shared" si="6"/>
        <v>0</v>
      </c>
      <c r="O4" s="9"/>
      <c r="P4" s="10">
        <f t="shared" si="7"/>
        <v>0</v>
      </c>
      <c r="Q4" s="10"/>
      <c r="R4" s="10">
        <f t="shared" si="9"/>
        <v>0</v>
      </c>
      <c r="S4" s="11">
        <f t="shared" si="10"/>
        <v>0</v>
      </c>
      <c r="T4" s="11">
        <f t="shared" si="11"/>
        <v>0</v>
      </c>
      <c r="U4" s="11">
        <f t="shared" si="12"/>
        <v>0</v>
      </c>
      <c r="V4" s="11">
        <f t="shared" si="13"/>
        <v>0</v>
      </c>
    </row>
    <row r="5" ht="22.5" customHeight="1">
      <c r="E5" s="12">
        <f t="shared" ref="E5:E19" si="14">C5*(1-D5/100)</f>
        <v>0</v>
      </c>
      <c r="H5" s="8">
        <f t="shared" si="3"/>
        <v>0</v>
      </c>
      <c r="J5" s="6">
        <f t="shared" si="4"/>
        <v>0</v>
      </c>
      <c r="L5" s="13">
        <f t="shared" ref="L5:L19" si="15">E5*(1+K5/100)</f>
        <v>0</v>
      </c>
      <c r="N5" s="10">
        <f t="shared" si="6"/>
        <v>0</v>
      </c>
      <c r="O5" s="14"/>
      <c r="P5" s="10">
        <f t="shared" si="7"/>
        <v>0</v>
      </c>
      <c r="Q5" s="14"/>
      <c r="R5" s="10">
        <f t="shared" si="9"/>
        <v>0</v>
      </c>
      <c r="S5" s="11">
        <f t="shared" si="10"/>
        <v>0</v>
      </c>
      <c r="T5" s="11">
        <f t="shared" si="11"/>
        <v>0</v>
      </c>
      <c r="U5" s="11">
        <f t="shared" si="12"/>
        <v>0</v>
      </c>
      <c r="V5" s="11">
        <f t="shared" si="13"/>
        <v>0</v>
      </c>
    </row>
    <row r="6" ht="22.5" customHeight="1">
      <c r="E6" s="12">
        <f t="shared" si="14"/>
        <v>0</v>
      </c>
      <c r="H6" s="8">
        <f t="shared" si="3"/>
        <v>0</v>
      </c>
      <c r="J6" s="6">
        <f t="shared" si="4"/>
        <v>0</v>
      </c>
      <c r="L6" s="13">
        <f t="shared" si="15"/>
        <v>0</v>
      </c>
      <c r="N6" s="10">
        <f t="shared" si="6"/>
        <v>0</v>
      </c>
      <c r="O6" s="14"/>
      <c r="P6" s="10">
        <f t="shared" si="7"/>
        <v>0</v>
      </c>
      <c r="Q6" s="14"/>
      <c r="R6" s="10">
        <f t="shared" si="9"/>
        <v>0</v>
      </c>
      <c r="S6" s="11">
        <f t="shared" si="10"/>
        <v>0</v>
      </c>
      <c r="T6" s="11">
        <f t="shared" si="11"/>
        <v>0</v>
      </c>
      <c r="U6" s="11">
        <f t="shared" si="12"/>
        <v>0</v>
      </c>
      <c r="V6" s="11">
        <f t="shared" si="13"/>
        <v>0</v>
      </c>
    </row>
    <row r="7" ht="22.5" customHeight="1">
      <c r="E7" s="12">
        <f t="shared" si="14"/>
        <v>0</v>
      </c>
      <c r="H7" s="8">
        <f t="shared" si="3"/>
        <v>0</v>
      </c>
      <c r="J7" s="6">
        <f t="shared" si="4"/>
        <v>0</v>
      </c>
      <c r="L7" s="13">
        <f t="shared" si="15"/>
        <v>0</v>
      </c>
      <c r="N7" s="10">
        <f t="shared" si="6"/>
        <v>0</v>
      </c>
      <c r="O7" s="14"/>
      <c r="P7" s="10">
        <f t="shared" si="7"/>
        <v>0</v>
      </c>
      <c r="Q7" s="14"/>
      <c r="R7" s="10">
        <f t="shared" si="9"/>
        <v>0</v>
      </c>
      <c r="S7" s="11">
        <f t="shared" si="10"/>
        <v>0</v>
      </c>
      <c r="T7" s="11">
        <f t="shared" si="11"/>
        <v>0</v>
      </c>
      <c r="U7" s="11">
        <f t="shared" si="12"/>
        <v>0</v>
      </c>
      <c r="V7" s="11">
        <f t="shared" si="13"/>
        <v>0</v>
      </c>
    </row>
    <row r="8" ht="22.5" customHeight="1">
      <c r="E8" s="12">
        <f t="shared" si="14"/>
        <v>0</v>
      </c>
      <c r="H8" s="8">
        <f t="shared" si="3"/>
        <v>0</v>
      </c>
      <c r="J8" s="6">
        <f t="shared" si="4"/>
        <v>0</v>
      </c>
      <c r="L8" s="13">
        <f t="shared" si="15"/>
        <v>0</v>
      </c>
      <c r="N8" s="10">
        <f t="shared" si="6"/>
        <v>0</v>
      </c>
      <c r="O8" s="14"/>
      <c r="P8" s="10">
        <f t="shared" si="7"/>
        <v>0</v>
      </c>
      <c r="Q8" s="14"/>
      <c r="R8" s="10">
        <f t="shared" si="9"/>
        <v>0</v>
      </c>
      <c r="S8" s="11">
        <f t="shared" si="10"/>
        <v>0</v>
      </c>
      <c r="T8" s="11">
        <f t="shared" si="11"/>
        <v>0</v>
      </c>
      <c r="U8" s="11">
        <f t="shared" si="12"/>
        <v>0</v>
      </c>
      <c r="V8" s="11">
        <f t="shared" si="13"/>
        <v>0</v>
      </c>
    </row>
    <row r="9" ht="22.5" customHeight="1">
      <c r="E9" s="12">
        <f t="shared" si="14"/>
        <v>0</v>
      </c>
      <c r="H9" s="8">
        <f t="shared" si="3"/>
        <v>0</v>
      </c>
      <c r="J9" s="6">
        <f t="shared" si="4"/>
        <v>0</v>
      </c>
      <c r="L9" s="13">
        <f t="shared" si="15"/>
        <v>0</v>
      </c>
      <c r="N9" s="10">
        <f t="shared" si="6"/>
        <v>0</v>
      </c>
      <c r="O9" s="14"/>
      <c r="P9" s="10">
        <f t="shared" si="7"/>
        <v>0</v>
      </c>
      <c r="Q9" s="14"/>
      <c r="R9" s="10">
        <f t="shared" si="9"/>
        <v>0</v>
      </c>
      <c r="S9" s="11">
        <f t="shared" si="10"/>
        <v>0</v>
      </c>
      <c r="T9" s="11">
        <f t="shared" si="11"/>
        <v>0</v>
      </c>
      <c r="U9" s="11">
        <f t="shared" si="12"/>
        <v>0</v>
      </c>
      <c r="V9" s="11">
        <f t="shared" si="13"/>
        <v>0</v>
      </c>
    </row>
    <row r="10" ht="22.5" customHeight="1">
      <c r="E10" s="12">
        <f t="shared" si="14"/>
        <v>0</v>
      </c>
      <c r="H10" s="8">
        <f t="shared" si="3"/>
        <v>0</v>
      </c>
      <c r="J10" s="6">
        <f t="shared" si="4"/>
        <v>0</v>
      </c>
      <c r="L10" s="13">
        <f t="shared" si="15"/>
        <v>0</v>
      </c>
      <c r="N10" s="10">
        <f t="shared" si="6"/>
        <v>0</v>
      </c>
      <c r="O10" s="14"/>
      <c r="P10" s="10">
        <f t="shared" si="7"/>
        <v>0</v>
      </c>
      <c r="Q10" s="14"/>
      <c r="R10" s="10">
        <f t="shared" si="9"/>
        <v>0</v>
      </c>
      <c r="S10" s="11">
        <f t="shared" si="10"/>
        <v>0</v>
      </c>
      <c r="T10" s="11">
        <f t="shared" si="11"/>
        <v>0</v>
      </c>
      <c r="U10" s="11">
        <f t="shared" si="12"/>
        <v>0</v>
      </c>
      <c r="V10" s="11">
        <f t="shared" si="13"/>
        <v>0</v>
      </c>
    </row>
    <row r="11" ht="22.5" customHeight="1">
      <c r="E11" s="12">
        <f t="shared" si="14"/>
        <v>0</v>
      </c>
      <c r="H11" s="8">
        <f t="shared" si="3"/>
        <v>0</v>
      </c>
      <c r="J11" s="6">
        <f t="shared" si="4"/>
        <v>0</v>
      </c>
      <c r="L11" s="13">
        <f t="shared" si="15"/>
        <v>0</v>
      </c>
      <c r="N11" s="10">
        <f t="shared" si="6"/>
        <v>0</v>
      </c>
      <c r="O11" s="14"/>
      <c r="P11" s="10">
        <f t="shared" si="7"/>
        <v>0</v>
      </c>
      <c r="Q11" s="14"/>
      <c r="R11" s="10">
        <f t="shared" si="9"/>
        <v>0</v>
      </c>
      <c r="S11" s="11">
        <f t="shared" si="10"/>
        <v>0</v>
      </c>
      <c r="T11" s="11">
        <f t="shared" si="11"/>
        <v>0</v>
      </c>
      <c r="U11" s="11">
        <f t="shared" si="12"/>
        <v>0</v>
      </c>
      <c r="V11" s="11">
        <f t="shared" si="13"/>
        <v>0</v>
      </c>
    </row>
    <row r="12" ht="22.5" customHeight="1">
      <c r="E12" s="12">
        <f t="shared" si="14"/>
        <v>0</v>
      </c>
      <c r="H12" s="8">
        <f t="shared" si="3"/>
        <v>0</v>
      </c>
      <c r="J12" s="6">
        <f t="shared" si="4"/>
        <v>0</v>
      </c>
      <c r="L12" s="13">
        <f t="shared" si="15"/>
        <v>0</v>
      </c>
      <c r="N12" s="10">
        <f t="shared" si="6"/>
        <v>0</v>
      </c>
      <c r="O12" s="14"/>
      <c r="P12" s="10">
        <f t="shared" si="7"/>
        <v>0</v>
      </c>
      <c r="Q12" s="14"/>
      <c r="R12" s="10">
        <f t="shared" si="9"/>
        <v>0</v>
      </c>
      <c r="S12" s="11">
        <f t="shared" si="10"/>
        <v>0</v>
      </c>
      <c r="T12" s="11">
        <f t="shared" si="11"/>
        <v>0</v>
      </c>
      <c r="U12" s="11">
        <f t="shared" si="12"/>
        <v>0</v>
      </c>
      <c r="V12" s="11">
        <f t="shared" si="13"/>
        <v>0</v>
      </c>
    </row>
    <row r="13" ht="22.5" customHeight="1">
      <c r="E13" s="12">
        <f t="shared" si="14"/>
        <v>0</v>
      </c>
      <c r="H13" s="8">
        <f t="shared" si="3"/>
        <v>0</v>
      </c>
      <c r="J13" s="6">
        <f t="shared" si="4"/>
        <v>0</v>
      </c>
      <c r="L13" s="13">
        <f t="shared" si="15"/>
        <v>0</v>
      </c>
      <c r="N13" s="10">
        <f t="shared" si="6"/>
        <v>0</v>
      </c>
      <c r="O13" s="14"/>
      <c r="P13" s="10">
        <f t="shared" si="7"/>
        <v>0</v>
      </c>
      <c r="Q13" s="14"/>
      <c r="R13" s="10">
        <f t="shared" si="9"/>
        <v>0</v>
      </c>
      <c r="S13" s="11">
        <f t="shared" si="10"/>
        <v>0</v>
      </c>
      <c r="T13" s="11">
        <f t="shared" si="11"/>
        <v>0</v>
      </c>
      <c r="U13" s="11">
        <f t="shared" si="12"/>
        <v>0</v>
      </c>
      <c r="V13" s="11">
        <f t="shared" si="13"/>
        <v>0</v>
      </c>
    </row>
    <row r="14" ht="22.5" customHeight="1">
      <c r="E14" s="12">
        <f t="shared" si="14"/>
        <v>0</v>
      </c>
      <c r="H14" s="8">
        <f t="shared" si="3"/>
        <v>0</v>
      </c>
      <c r="J14" s="6">
        <f t="shared" si="4"/>
        <v>0</v>
      </c>
      <c r="L14" s="13">
        <f t="shared" si="15"/>
        <v>0</v>
      </c>
      <c r="N14" s="10">
        <f t="shared" si="6"/>
        <v>0</v>
      </c>
      <c r="O14" s="14"/>
      <c r="P14" s="10">
        <f t="shared" si="7"/>
        <v>0</v>
      </c>
      <c r="Q14" s="14"/>
      <c r="R14" s="10">
        <f t="shared" si="9"/>
        <v>0</v>
      </c>
      <c r="S14" s="11">
        <f t="shared" si="10"/>
        <v>0</v>
      </c>
      <c r="T14" s="11">
        <f t="shared" si="11"/>
        <v>0</v>
      </c>
      <c r="U14" s="11">
        <f t="shared" si="12"/>
        <v>0</v>
      </c>
      <c r="V14" s="11">
        <f t="shared" si="13"/>
        <v>0</v>
      </c>
    </row>
    <row r="15" ht="22.5" customHeight="1">
      <c r="E15" s="12">
        <f t="shared" si="14"/>
        <v>0</v>
      </c>
      <c r="H15" s="8">
        <f t="shared" si="3"/>
        <v>0</v>
      </c>
      <c r="J15" s="6">
        <f t="shared" si="4"/>
        <v>0</v>
      </c>
      <c r="L15" s="13">
        <f t="shared" si="15"/>
        <v>0</v>
      </c>
      <c r="N15" s="10">
        <f t="shared" si="6"/>
        <v>0</v>
      </c>
      <c r="O15" s="14"/>
      <c r="P15" s="10">
        <f t="shared" si="7"/>
        <v>0</v>
      </c>
      <c r="Q15" s="14"/>
      <c r="R15" s="10">
        <f t="shared" si="9"/>
        <v>0</v>
      </c>
      <c r="S15" s="11">
        <f t="shared" si="10"/>
        <v>0</v>
      </c>
      <c r="T15" s="11">
        <f t="shared" si="11"/>
        <v>0</v>
      </c>
      <c r="U15" s="11">
        <f t="shared" si="12"/>
        <v>0</v>
      </c>
      <c r="V15" s="11">
        <f t="shared" si="13"/>
        <v>0</v>
      </c>
    </row>
    <row r="16" ht="22.5" customHeight="1">
      <c r="E16" s="12">
        <f t="shared" si="14"/>
        <v>0</v>
      </c>
      <c r="H16" s="8">
        <f t="shared" si="3"/>
        <v>0</v>
      </c>
      <c r="J16" s="6">
        <f t="shared" si="4"/>
        <v>0</v>
      </c>
      <c r="L16" s="13">
        <f t="shared" si="15"/>
        <v>0</v>
      </c>
      <c r="N16" s="10">
        <f t="shared" si="6"/>
        <v>0</v>
      </c>
      <c r="O16" s="14"/>
      <c r="P16" s="10">
        <f t="shared" si="7"/>
        <v>0</v>
      </c>
      <c r="Q16" s="14"/>
      <c r="R16" s="10">
        <f t="shared" si="9"/>
        <v>0</v>
      </c>
      <c r="S16" s="11">
        <f t="shared" si="10"/>
        <v>0</v>
      </c>
      <c r="T16" s="11">
        <f t="shared" si="11"/>
        <v>0</v>
      </c>
      <c r="U16" s="11">
        <f t="shared" si="12"/>
        <v>0</v>
      </c>
      <c r="V16" s="11">
        <f t="shared" si="13"/>
        <v>0</v>
      </c>
    </row>
    <row r="17" ht="22.5" customHeight="1">
      <c r="E17" s="12">
        <f t="shared" si="14"/>
        <v>0</v>
      </c>
      <c r="H17" s="8">
        <f t="shared" si="3"/>
        <v>0</v>
      </c>
      <c r="J17" s="6">
        <f t="shared" si="4"/>
        <v>0</v>
      </c>
      <c r="L17" s="13">
        <f t="shared" si="15"/>
        <v>0</v>
      </c>
      <c r="N17" s="10">
        <f t="shared" si="6"/>
        <v>0</v>
      </c>
      <c r="O17" s="14"/>
      <c r="P17" s="10">
        <f t="shared" si="7"/>
        <v>0</v>
      </c>
      <c r="Q17" s="14"/>
      <c r="R17" s="10">
        <f t="shared" si="9"/>
        <v>0</v>
      </c>
      <c r="S17" s="11">
        <f t="shared" si="10"/>
        <v>0</v>
      </c>
      <c r="T17" s="11">
        <f t="shared" si="11"/>
        <v>0</v>
      </c>
      <c r="U17" s="11">
        <f t="shared" si="12"/>
        <v>0</v>
      </c>
      <c r="V17" s="11">
        <f t="shared" si="13"/>
        <v>0</v>
      </c>
    </row>
    <row r="18" ht="22.5" customHeight="1">
      <c r="E18" s="12">
        <f t="shared" si="14"/>
        <v>0</v>
      </c>
      <c r="H18" s="8">
        <f t="shared" si="3"/>
        <v>0</v>
      </c>
      <c r="J18" s="6">
        <f t="shared" si="4"/>
        <v>0</v>
      </c>
      <c r="L18" s="13">
        <f t="shared" si="15"/>
        <v>0</v>
      </c>
      <c r="N18" s="10">
        <f t="shared" si="6"/>
        <v>0</v>
      </c>
      <c r="O18" s="14"/>
      <c r="P18" s="10">
        <f t="shared" si="7"/>
        <v>0</v>
      </c>
      <c r="Q18" s="14"/>
      <c r="R18" s="10">
        <f t="shared" si="9"/>
        <v>0</v>
      </c>
      <c r="S18" s="11">
        <f t="shared" si="10"/>
        <v>0</v>
      </c>
      <c r="T18" s="11">
        <f t="shared" si="11"/>
        <v>0</v>
      </c>
      <c r="U18" s="11">
        <f t="shared" si="12"/>
        <v>0</v>
      </c>
      <c r="V18" s="11">
        <f t="shared" si="13"/>
        <v>0</v>
      </c>
    </row>
    <row r="19" ht="22.5" customHeight="1">
      <c r="E19" s="12">
        <f t="shared" si="14"/>
        <v>0</v>
      </c>
      <c r="H19" s="8">
        <f t="shared" si="3"/>
        <v>0</v>
      </c>
      <c r="J19" s="6">
        <f t="shared" si="4"/>
        <v>0</v>
      </c>
      <c r="L19" s="13">
        <f t="shared" si="15"/>
        <v>0</v>
      </c>
      <c r="N19" s="10">
        <f t="shared" si="6"/>
        <v>0</v>
      </c>
      <c r="O19" s="14"/>
      <c r="P19" s="10">
        <f t="shared" si="7"/>
        <v>0</v>
      </c>
      <c r="Q19" s="14"/>
      <c r="R19" s="10">
        <f t="shared" si="9"/>
        <v>0</v>
      </c>
      <c r="S19" s="11">
        <f t="shared" si="10"/>
        <v>0</v>
      </c>
      <c r="T19" s="11">
        <f t="shared" si="11"/>
        <v>0</v>
      </c>
      <c r="U19" s="11">
        <f t="shared" si="12"/>
        <v>0</v>
      </c>
      <c r="V19" s="11">
        <f t="shared" si="13"/>
        <v>0</v>
      </c>
    </row>
  </sheetData>
  <dataValidations>
    <dataValidation type="custom" allowBlank="1" showDropDown="1" sqref="E2:E1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